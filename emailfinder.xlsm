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ika_karale\Desktop\"/>
    </mc:Choice>
  </mc:AlternateContent>
  <xr:revisionPtr revIDLastSave="0" documentId="13_ncr:1_{DA19B0C7-838C-498C-B44F-671844E7C9B4}" xr6:coauthVersionLast="47" xr6:coauthVersionMax="47" xr10:uidLastSave="{00000000-0000-0000-0000-000000000000}"/>
  <bookViews>
    <workbookView xWindow="-110" yWindow="-110" windowWidth="19420" windowHeight="10300" xr2:uid="{75F7E3FB-B71B-4A65-A411-2CA795F067E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2" i="1" l="1"/>
  <c r="AX2" i="1"/>
  <c r="AW2" i="1"/>
  <c r="AN2" i="1"/>
  <c r="AM2" i="1"/>
  <c r="AL2" i="1"/>
  <c r="AC2" i="1"/>
  <c r="X2" i="1"/>
  <c r="AA2" i="1"/>
  <c r="Z2" i="1"/>
  <c r="Y2" i="1"/>
  <c r="AB2" i="1"/>
  <c r="AV2" i="1"/>
  <c r="AU2" i="1"/>
  <c r="AT2" i="1"/>
  <c r="AS2" i="1"/>
  <c r="AR3" i="1"/>
  <c r="AR2" i="1"/>
  <c r="AQ3" i="1"/>
  <c r="AQ2" i="1"/>
  <c r="AP3" i="1"/>
  <c r="AP2" i="1"/>
  <c r="AO3" i="1"/>
  <c r="AO2" i="1"/>
  <c r="AK2" i="1"/>
  <c r="AJ3" i="1"/>
  <c r="AJ2" i="1"/>
  <c r="AI3" i="1"/>
  <c r="AI2" i="1"/>
  <c r="AH3" i="1"/>
  <c r="AH2" i="1"/>
  <c r="AG3" i="1"/>
  <c r="AG2" i="1"/>
  <c r="H3" i="1"/>
  <c r="G3" i="1"/>
  <c r="F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AF3" i="1"/>
  <c r="AD3" i="1"/>
  <c r="AE3" i="1"/>
  <c r="AE2" i="1"/>
  <c r="AD2" i="1"/>
  <c r="W2" i="1"/>
  <c r="V2" i="1"/>
  <c r="U2" i="1"/>
  <c r="T2" i="1"/>
  <c r="S2" i="1"/>
  <c r="Q2" i="1"/>
  <c r="R2" i="1"/>
  <c r="P2" i="1"/>
  <c r="O2" i="1"/>
  <c r="N2" i="1"/>
  <c r="M2" i="1"/>
  <c r="L2" i="1"/>
  <c r="K2" i="1"/>
  <c r="J2" i="1"/>
  <c r="I2" i="1"/>
  <c r="AF2" i="1"/>
  <c r="H2" i="1"/>
  <c r="G2" i="1"/>
  <c r="F2" i="1"/>
</calcChain>
</file>

<file path=xl/sharedStrings.xml><?xml version="1.0" encoding="utf-8"?>
<sst xmlns="http://schemas.openxmlformats.org/spreadsheetml/2006/main" count="59" uniqueCount="59">
  <si>
    <t>Ameya</t>
  </si>
  <si>
    <t>Chavan</t>
  </si>
  <si>
    <t>Karale</t>
  </si>
  <si>
    <t>Bhavika</t>
  </si>
  <si>
    <t>Litmusblox</t>
  </si>
  <si>
    <t>Persistent</t>
  </si>
  <si>
    <t>xEmail</t>
  </si>
  <si>
    <t>fn</t>
  </si>
  <si>
    <t>ln</t>
  </si>
  <si>
    <t>{fn}</t>
  </si>
  <si>
    <t>{ln}</t>
  </si>
  <si>
    <t>{fn}{ln}</t>
  </si>
  <si>
    <t>{fn}.{ln}</t>
  </si>
  <si>
    <t>{fi}{ln}</t>
  </si>
  <si>
    <t>{fi}.{ln}</t>
  </si>
  <si>
    <t>{fn}{li}</t>
  </si>
  <si>
    <t>{fn}.{li}</t>
  </si>
  <si>
    <t>{fi}{li}</t>
  </si>
  <si>
    <t>{fi}.{li}</t>
  </si>
  <si>
    <t>{ln}{fn}</t>
  </si>
  <si>
    <t>{ln}.{fn}</t>
  </si>
  <si>
    <t>{ln}{fi}</t>
  </si>
  <si>
    <t>{ln}.{fi}</t>
  </si>
  <si>
    <t>{li}{fn}</t>
  </si>
  <si>
    <t>{li}.{fn}</t>
  </si>
  <si>
    <t>{li}{fi}</t>
  </si>
  <si>
    <t>{li}.{fi}</t>
  </si>
  <si>
    <t>{fi}{mi}{ln}</t>
  </si>
  <si>
    <t>{fi}{mi}.{ln}</t>
  </si>
  <si>
    <t>{fn}{mi}{ln}</t>
  </si>
  <si>
    <t>{fn}.{mi}.{ln}</t>
  </si>
  <si>
    <t>{fn}{mn}{ln}</t>
  </si>
  <si>
    <t>{fn}.{mn}.{ln}</t>
  </si>
  <si>
    <t>{fn}-{ln}</t>
  </si>
  <si>
    <t>{fi}-{ln}</t>
  </si>
  <si>
    <t>{fn}-{li}</t>
  </si>
  <si>
    <t>{fi}-{li}</t>
  </si>
  <si>
    <t>{ln}-{fn}</t>
  </si>
  <si>
    <t>{ln}-{fi}</t>
  </si>
  <si>
    <t>{li}-{fn}</t>
  </si>
  <si>
    <t>{li}-{fi}</t>
  </si>
  <si>
    <t>{fi}{mi}-{ln}</t>
  </si>
  <si>
    <t>{fn}-{mi}-{ln}</t>
  </si>
  <si>
    <t>{fn}-{mn}-{ln}</t>
  </si>
  <si>
    <t>{fn}_{ln}</t>
  </si>
  <si>
    <t>{fi}_{ln}</t>
  </si>
  <si>
    <t>{fn}_{li}</t>
  </si>
  <si>
    <t>{fi}_{li}</t>
  </si>
  <si>
    <t>{ln}_{fn}</t>
  </si>
  <si>
    <t>{ln}_{fi}</t>
  </si>
  <si>
    <t>{li}_{fn}</t>
  </si>
  <si>
    <t>{li}_{fi}</t>
  </si>
  <si>
    <t>{fi}{mi}_{ln}</t>
  </si>
  <si>
    <t>{fn}_{mi}_{ln}</t>
  </si>
  <si>
    <t>{fn}_{mn}_{ln}</t>
  </si>
  <si>
    <t>cn</t>
  </si>
  <si>
    <t>mn</t>
  </si>
  <si>
    <t>Abhay</t>
  </si>
  <si>
    <t>Mauli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</si>
</sst>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2" xfId="0" applyFont="1" applyFill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36688-DB28-4C96-ADAD-36B1F218DD7B}">
  <sheetPr codeName="Sheet1"/>
  <dimension ref="A1:AY3"/>
  <sheetViews>
    <sheetView tabSelected="1" workbookViewId="0">
      <selection activeCell="E2" sqref="E2"/>
    </sheetView>
  </sheetViews>
  <sheetFormatPr defaultRowHeight="14.5" x14ac:dyDescent="0.35"/>
  <cols>
    <col min="1" max="1" width="7.26953125" bestFit="1" customWidth="1"/>
    <col min="2" max="2" width="7" bestFit="1" customWidth="1"/>
    <col min="3" max="3" width="9.81640625" bestFit="1" customWidth="1"/>
    <col min="4" max="4" width="9.81640625" customWidth="1"/>
    <col min="5" max="5" width="18.36328125" customWidth="1"/>
    <col min="6" max="6" width="21.1796875" bestFit="1" customWidth="1"/>
    <col min="7" max="7" width="21.54296875" bestFit="1" customWidth="1"/>
    <col min="8" max="51" width="27.1796875" bestFit="1" customWidth="1"/>
  </cols>
  <sheetData>
    <row r="1" spans="1:51" x14ac:dyDescent="0.35">
      <c r="A1" s="5" t="s">
        <v>7</v>
      </c>
      <c r="B1" s="5" t="s">
        <v>8</v>
      </c>
      <c r="C1" s="5" t="s">
        <v>55</v>
      </c>
      <c r="D1" s="4" t="s">
        <v>56</v>
      </c>
      <c r="E1" s="6" t="s">
        <v>6</v>
      </c>
      <c r="F1" s="1" t="s">
        <v>9</v>
      </c>
      <c r="G1" s="2" t="s">
        <v>10</v>
      </c>
      <c r="H1" s="1" t="s">
        <v>11</v>
      </c>
      <c r="I1" s="2" t="s">
        <v>12</v>
      </c>
      <c r="J1" s="1" t="s">
        <v>13</v>
      </c>
      <c r="K1" s="2" t="s">
        <v>14</v>
      </c>
      <c r="L1" s="1" t="s">
        <v>15</v>
      </c>
      <c r="M1" s="2" t="s">
        <v>16</v>
      </c>
      <c r="N1" s="1" t="s">
        <v>17</v>
      </c>
      <c r="O1" s="2" t="s">
        <v>18</v>
      </c>
      <c r="P1" s="1" t="s">
        <v>19</v>
      </c>
      <c r="Q1" s="2" t="s">
        <v>20</v>
      </c>
      <c r="R1" s="1" t="s">
        <v>21</v>
      </c>
      <c r="S1" s="2" t="s">
        <v>22</v>
      </c>
      <c r="T1" s="1" t="s">
        <v>23</v>
      </c>
      <c r="U1" s="2" t="s">
        <v>24</v>
      </c>
      <c r="V1" s="1" t="s">
        <v>25</v>
      </c>
      <c r="W1" s="2" t="s">
        <v>26</v>
      </c>
      <c r="X1" s="1" t="s">
        <v>27</v>
      </c>
      <c r="Y1" s="2" t="s">
        <v>28</v>
      </c>
      <c r="Z1" s="1" t="s">
        <v>29</v>
      </c>
      <c r="AA1" s="2" t="s">
        <v>30</v>
      </c>
      <c r="AB1" s="1" t="s">
        <v>31</v>
      </c>
      <c r="AC1" s="2" t="s">
        <v>32</v>
      </c>
      <c r="AD1" s="1" t="s">
        <v>33</v>
      </c>
      <c r="AE1" s="2" t="s">
        <v>34</v>
      </c>
      <c r="AF1" s="1" t="s">
        <v>35</v>
      </c>
      <c r="AG1" s="2" t="s">
        <v>36</v>
      </c>
      <c r="AH1" s="1" t="s">
        <v>37</v>
      </c>
      <c r="AI1" s="2" t="s">
        <v>38</v>
      </c>
      <c r="AJ1" s="1" t="s">
        <v>39</v>
      </c>
      <c r="AK1" s="2" t="s">
        <v>40</v>
      </c>
      <c r="AL1" s="1" t="s">
        <v>41</v>
      </c>
      <c r="AM1" s="2" t="s">
        <v>42</v>
      </c>
      <c r="AN1" s="1" t="s">
        <v>43</v>
      </c>
      <c r="AO1" s="2" t="s">
        <v>44</v>
      </c>
      <c r="AP1" s="1" t="s">
        <v>45</v>
      </c>
      <c r="AQ1" s="2" t="s">
        <v>46</v>
      </c>
      <c r="AR1" s="1" t="s">
        <v>47</v>
      </c>
      <c r="AS1" s="2" t="s">
        <v>48</v>
      </c>
      <c r="AT1" s="1" t="s">
        <v>49</v>
      </c>
      <c r="AU1" s="2" t="s">
        <v>50</v>
      </c>
      <c r="AV1" s="1" t="s">
        <v>51</v>
      </c>
      <c r="AW1" s="2" t="s">
        <v>52</v>
      </c>
      <c r="AX1" s="1" t="s">
        <v>53</v>
      </c>
      <c r="AY1" s="3" t="s">
        <v>54</v>
      </c>
    </row>
    <row r="2" spans="1:51" x14ac:dyDescent="0.35">
      <c r="A2" t="s">
        <v>0</v>
      </c>
      <c r="B2" t="s">
        <v>1</v>
      </c>
      <c r="C2" t="s">
        <v>4</v>
      </c>
      <c r="D2" t="s">
        <v>57</v>
      </c>
      <c r="F2" t="str">
        <f>LOWER(CONCATENATE($A2,"@",$C2,".com"))</f>
        <v>ameya@litmusblox.com</v>
      </c>
      <c r="G2" t="str">
        <f>LOWER(CONCATENATE($B2,"@",$C2,".com"))</f>
        <v>chavan@litmusblox.com</v>
      </c>
      <c r="H2" t="str">
        <f>LOWER(CONCATENATE($A2,$B2,"@",$C2,".com"))</f>
        <v>ameyachavan@litmusblox.com</v>
      </c>
      <c r="I2" t="str">
        <f>LOWER(CONCATENATE($A2,".",$B2,"@",$C2,".com"))</f>
        <v>ameya.chavan@litmusblox.com</v>
      </c>
      <c r="J2" t="str">
        <f>LOWER(CONCATENATE(LEFT($A2,1),$B2,"@",$C2,".com"))</f>
        <v>achavan@litmusblox.com</v>
      </c>
      <c r="K2" t="str">
        <f>LOWER(CONCATENATE(LEFT($A2,1),".",$B2,"@",$C2,".com"))</f>
        <v>a.chavan@litmusblox.com</v>
      </c>
      <c r="L2" t="str">
        <f>LOWER(CONCATENATE($A2,LEFT($B2,1),"@",$C2,".com"))</f>
        <v>ameyac@litmusblox.com</v>
      </c>
      <c r="M2" t="str">
        <f>LOWER(CONCATENATE($A2,".",LEFT($B2,1),"@",$C2,".com"))</f>
        <v>ameya.c@litmusblox.com</v>
      </c>
      <c r="N2" t="str">
        <f>LOWER(CONCATENATE(LEFT($A2,1),LEFT($B2,1),"@",$C2,".com"))</f>
        <v>ac@litmusblox.com</v>
      </c>
      <c r="O2" t="str">
        <f>LOWER(CONCATENATE(LEFT($A2,1),".",LEFT($B2,1),"@",$C2,".com"))</f>
        <v>a.c@litmusblox.com</v>
      </c>
      <c r="P2" t="str">
        <f>LOWER(CONCATENATE($B2,$A2,"@",$C2,".com"))</f>
        <v>chavanameya@litmusblox.com</v>
      </c>
      <c r="Q2" t="str">
        <f>LOWER(CONCATENATE($B2,".",$A2,"@",$C2,".com"))</f>
        <v>chavan.ameya@litmusblox.com</v>
      </c>
      <c r="R2" t="str">
        <f>LOWER(CONCATENATE($B2,LEFT($A2,1),"@",$C2,".com"))</f>
        <v>chavana@litmusblox.com</v>
      </c>
      <c r="S2" t="str">
        <f>LOWER(CONCATENATE($B2,".",LEFT($A2,1),"@",$C2,".com"))</f>
        <v>chavan.a@litmusblox.com</v>
      </c>
      <c r="T2" t="str">
        <f>LOWER(CONCATENATE(LEFT($A2,1),$B2,"@",$C2,".com"))</f>
        <v>achavan@litmusblox.com</v>
      </c>
      <c r="U2" t="str">
        <f>LOWER(CONCATENATE(LEFT($A2,1),".",$B2,"@",$C2,".com"))</f>
        <v>a.chavan@litmusblox.com</v>
      </c>
      <c r="V2" t="str">
        <f>LOWER(CONCATENATE(LEFT($A2,1),LEFT($B2,1),"@",$C2,".com"))</f>
        <v>ac@litmusblox.com</v>
      </c>
      <c r="W2" t="str">
        <f>LOWER(CONCATENATE(LEFT($A2,1),".",LEFT($B2,1),"@",$C2,".com"))</f>
        <v>a.c@litmusblox.com</v>
      </c>
      <c r="X2" t="str">
        <f>LOWER(CONCATENATE(LEFT($A2,1), LEFT($D2,1),$B2,"@",$C2,".com"))</f>
        <v>aachavan@litmusblox.com</v>
      </c>
      <c r="Y2" t="str">
        <f>LOWER(CONCATENATE(LEFT($A2,1),LEFT( $D2,1),".",$B2,"@",$C2,".com"))</f>
        <v>aa.chavan@litmusblox.com</v>
      </c>
      <c r="Z2" t="str">
        <f>LOWER(CONCATENATE($A2, LEFT($D2,1),$B2,"@",$C2,".com"))</f>
        <v>ameyaachavan@litmusblox.com</v>
      </c>
      <c r="AA2" t="str">
        <f>LOWER(CONCATENATE($A2,".",LEFT( $D2,1),".",$B2,"@",$C2,".com"))</f>
        <v>ameya.a.chavan@litmusblox.com</v>
      </c>
      <c r="AB2" t="str">
        <f t="shared" ref="Z2:AB2" si="0">LOWER(CONCATENATE($A2, $D2,$B2,"@",$C2,".com"))</f>
        <v>ameyaabhaychavan@litmusblox.com</v>
      </c>
      <c r="AC2" t="str">
        <f>LOWER(CONCATENATE($A2,".",$D2,".",$B2,"@",$C2,".com"))</f>
        <v>ameya.abhay.chavan@litmusblox.com</v>
      </c>
      <c r="AD2" t="str">
        <f>LOWER(CONCATENATE($A2,"-",$B2,"@",$C2,".com"))</f>
        <v>ameya-chavan@litmusblox.com</v>
      </c>
      <c r="AE2" t="str">
        <f>LOWER(CONCATENATE(LEFT($A2,1),"-",$B2,"@",$C2,".com"))</f>
        <v>a-chavan@litmusblox.com</v>
      </c>
      <c r="AF2" t="str">
        <f>LOWER(CONCATENATE($A2,$B2,"@",$C2,".com"))</f>
        <v>ameyachavan@litmusblox.com</v>
      </c>
      <c r="AG2" t="str">
        <f>LOWER(CONCATENATE(LEFT($A2,1),"-",LEFT($B2,1),"@",$C2,".com"))</f>
        <v>a-c@litmusblox.com</v>
      </c>
      <c r="AH2" t="str">
        <f>LOWER(CONCATENATE($B2,"-",$A2,"@",$C2,".com"))</f>
        <v>chavan-ameya@litmusblox.com</v>
      </c>
      <c r="AI2" t="str">
        <f>LOWER(CONCATENATE($B2,"-",LEFT($A2,1),"@",$C2,".com"))</f>
        <v>chavan-a@litmusblox.com</v>
      </c>
      <c r="AJ2" t="str">
        <f>LOWER(CONCATENATE(LEFT($B2,1),"-",$A2,"@",$C2,".com"))</f>
        <v>c-ameya@litmusblox.com</v>
      </c>
      <c r="AK2" t="str">
        <f>LOWER(CONCATENATE(LEFT($B2,1),"-",LEFT($A2,1),"@",$C2,".com"))</f>
        <v>c-a@litmusblox.com</v>
      </c>
      <c r="AL2" t="str">
        <f>LOWER(CONCATENATE(LEFT($A2,1),LEFT($D2,1),"-",$B2,"@",$C2,".com"))</f>
        <v>aa-chavan@litmusblox.com</v>
      </c>
      <c r="AM2" t="str">
        <f>LOWER(CONCATENATE($A2,"-",LEFT($D2,1),"-",$B2,"@",$C2,".com"))</f>
        <v>ameya-a-chavan@litmusblox.com</v>
      </c>
      <c r="AN2" t="str">
        <f>LOWER(CONCATENATE($A2,"-",$D2,"-",$B2,"@",$C2,".com"))</f>
        <v>ameya-abhay-chavan@litmusblox.com</v>
      </c>
      <c r="AO2" t="str">
        <f>LOWER(CONCATENATE($A2,"_",$B2,"@",$C2,".com"))</f>
        <v>ameya_chavan@litmusblox.com</v>
      </c>
      <c r="AP2" t="str">
        <f>LOWER(CONCATENATE(LEFT($A2,1),"_",$B2,"@",$C2,".com"))</f>
        <v>a_chavan@litmusblox.com</v>
      </c>
      <c r="AQ2" t="str">
        <f>LOWER(CONCATENATE($A2,"_",LEFT($B2,1),"@",$C2,".com"))</f>
        <v>ameya_c@litmusblox.com</v>
      </c>
      <c r="AR2" t="str">
        <f>LOWER(CONCATENATE(LEFT($A2,1),"_",LEFT($B2,1),"@",$C2,".com"))</f>
        <v>a_c@litmusblox.com</v>
      </c>
      <c r="AS2" t="str">
        <f>LOWER(CONCATENATE($B2,"_",$A2,"@",$C2,".com"))</f>
        <v>chavan_ameya@litmusblox.com</v>
      </c>
      <c r="AT2" t="str">
        <f>LOWER(CONCATENATE($B2,"_",LEFT($A2,1),"@",$C2,".com"))</f>
        <v>chavan_a@litmusblox.com</v>
      </c>
      <c r="AU2" t="str">
        <f>LOWER(CONCATENATE(LEFT($B2,1),"_",$A2,"@",$C2,".com"))</f>
        <v>c_ameya@litmusblox.com</v>
      </c>
      <c r="AV2" t="str">
        <f>LOWER(CONCATENATE(LEFT($B2,1),"_",LEFT($A2,1),"@",$C2,".com"))</f>
        <v>c_a@litmusblox.com</v>
      </c>
      <c r="AW2" t="str">
        <f>LOWER(CONCATENATE(LEFT($A2,1),LEFT($D2,1),"_",$B2,"@",$C2,".com"))</f>
        <v>aa_chavan@litmusblox.com</v>
      </c>
      <c r="AX2" t="str">
        <f>LOWER(CONCATENATE($A2,"_",LEFT($D2,1),"_",$B2,"@",$C2,".com"))</f>
        <v>ameya_a_chavan@litmusblox.com</v>
      </c>
      <c r="AY2" t="str">
        <f>LOWER(CONCATENATE($A2,"_",$D2,"_",$B2,"@",$C2,".com"))</f>
        <v>ameya_abhay_chavan@litmusblox.com</v>
      </c>
    </row>
    <row r="3" spans="1:51" x14ac:dyDescent="0.35">
      <c r="A3" t="s">
        <v>3</v>
      </c>
      <c r="B3" t="s">
        <v>2</v>
      </c>
      <c r="C3" t="s">
        <v>5</v>
      </c>
      <c r="D3" t="s">
        <v>58</v>
      </c>
      <c r="F3" t="str">
        <f>LOWER(CONCATENATE($A3,"@",$C3,".com"))</f>
        <v>bhavika@persistent.com</v>
      </c>
      <c r="G3" t="str">
        <f>LOWER(CONCATENATE($B3,"@",$C3,".com"))</f>
        <v>karale@persistent.com</v>
      </c>
      <c r="H3" t="str">
        <f>LOWER(CONCATENATE($A3,$B3,"@",$C3,".com"))</f>
        <v>bhavikakarale@persistent.com</v>
      </c>
      <c r="I3" t="str">
        <f>LOWER(CONCATENATE($A3,".",$B3,"@",$C3,".com"))</f>
        <v>bhavika.karale@persistent.com</v>
      </c>
      <c r="J3" t="str">
        <f>LOWER(CONCATENATE(LEFT($A3,1),$B3,"@",$C3,".com"))</f>
        <v>bkarale@persistent.com</v>
      </c>
      <c r="K3" t="str">
        <f>LOWER(CONCATENATE(LEFT($A3,1),".",$B3,"@",$C3,".com"))</f>
        <v>b.karale@persistent.com</v>
      </c>
      <c r="L3" t="str">
        <f>LOWER(CONCATENATE($A3,LEFT($B3,1),"@",$C3,".com"))</f>
        <v>bhavikak@persistent.com</v>
      </c>
      <c r="M3" t="str">
        <f>LOWER(CONCATENATE($A3,".",LEFT($B3,1),"@",$C3,".com"))</f>
        <v>bhavika.k@persistent.com</v>
      </c>
      <c r="N3" t="str">
        <f>LOWER(CONCATENATE(LEFT($A3,1),LEFT($B3,1),"@",$C3,".com"))</f>
        <v>bk@persistent.com</v>
      </c>
      <c r="O3" t="str">
        <f>LOWER(CONCATENATE(LEFT($A3,1),".",LEFT($B3,1),"@",$C3,".com"))</f>
        <v>b.k@persistent.com</v>
      </c>
      <c r="P3" t="str">
        <f>LOWER(CONCATENATE($B3,$A3,"@",$C3,".com"))</f>
        <v>karalebhavika@persistent.com</v>
      </c>
      <c r="Q3" t="str">
        <f>LOWER(CONCATENATE($B3,".",$A3,"@",$C3,".com"))</f>
        <v>karale.bhavika@persistent.com</v>
      </c>
      <c r="R3" t="str">
        <f>LOWER(CONCATENATE($B3,LEFT($A3,1),"@",$C3,".com"))</f>
        <v>karaleb@persistent.com</v>
      </c>
      <c r="S3" t="str">
        <f>LOWER(CONCATENATE($B3,".",LEFT($A3,1),"@",$C3,".com"))</f>
        <v>karale.b@persistent.com</v>
      </c>
      <c r="T3" t="str">
        <f>LOWER(CONCATENATE(LEFT($A3,1),$B3,"@",$C3,".com"))</f>
        <v>bkarale@persistent.com</v>
      </c>
      <c r="U3" t="str">
        <f>LOWER(CONCATENATE(LEFT($A3,1),".",$B3,"@",$C3,".com"))</f>
        <v>b.karale@persistent.com</v>
      </c>
      <c r="V3" t="str">
        <f>LOWER(CONCATENATE(LEFT($A3,1),LEFT($B3,1),"@",$C3,".com"))</f>
        <v>bk@persistent.com</v>
      </c>
      <c r="W3" t="str">
        <f>LOWER(CONCATENATE(LEFT($A3,1),".",LEFT($B3,1),"@",$C3,".com"))</f>
        <v>b.k@persistent.com</v>
      </c>
      <c r="AD3" t="str">
        <f>LOWER(CONCATENATE($A3,"-",$B3,"@",$C3,".com"))</f>
        <v>bhavika-karale@persistent.com</v>
      </c>
      <c r="AE3" t="str">
        <f>LOWER(CONCATENATE(LEFT($A3,1),"-",$B3,"@",$C3,".com"))</f>
        <v>b-karale@persistent.com</v>
      </c>
      <c r="AF3" t="str">
        <f>LOWER(CONCATENATE($A3,$B3,"@",$C3,".com"))</f>
        <v>bhavikakarale@persistent.com</v>
      </c>
      <c r="AG3" t="str">
        <f>LOWER(CONCATENATE(LEFT($A3,1),"-",LEFT($B3,1),"@",$C3,".com"))</f>
        <v>b-k@persistent.com</v>
      </c>
      <c r="AH3" t="str">
        <f>LOWER(CONCATENATE($B3,"-",$A3,"@",$C3,".com"))</f>
        <v>karale-bhavika@persistent.com</v>
      </c>
      <c r="AI3" t="str">
        <f>LOWER(CONCATENATE($B3,"-",LEFT($A3,1),"@",$C3,".com"))</f>
        <v>karale-b@persistent.com</v>
      </c>
      <c r="AJ3" t="str">
        <f>LOWER(CONCATENATE(LEFT($B3,1),"-",$A3,"@",$C3,".com"))</f>
        <v>k-bhavika@persistent.com</v>
      </c>
      <c r="AO3" t="str">
        <f>LOWER(CONCATENATE($A3,"_",$B3,"@",$C3,".com"))</f>
        <v>bhavika_karale@persistent.com</v>
      </c>
      <c r="AP3" t="str">
        <f>LOWER(CONCATENATE(LEFT($A3,1),"_",$B3,"@",$C3,".com"))</f>
        <v>b_karale@persistent.com</v>
      </c>
      <c r="AQ3" t="str">
        <f>LOWER(CONCATENATE($A3,"_",LEFT($B3,1),"@",$C3,".com"))</f>
        <v>bhavika_k@persistent.com</v>
      </c>
      <c r="AR3" t="str">
        <f>LOWER(CONCATENATE(LEFT($A3,1),"_",LEFT($B3,1),"@",$C3,".com"))</f>
        <v>b_k@persistent.com</v>
      </c>
    </row>
  </sheetData>
  <pageMargins left="0.7" right="0.7" top="0.75" bottom="0.75" header="0.3" footer="0.3"/>
  <pageSetup orientation="portrait" r:id="rId1"/>
  <ignoredErrors>
    <ignoredError sqref="AJ2:AJ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Bhavika Karale</dc:creator>
  <cp:lastModifiedBy>Bhavika Karale</cp:lastModifiedBy>
  <dcterms:created xsi:type="dcterms:W3CDTF">2022-04-11T14:54:01Z</dcterms:created>
  <dcterms:modified xsi:type="dcterms:W3CDTF">2022-04-11T17:13:58Z</dcterms:modified>
</cp:coreProperties>
</file>